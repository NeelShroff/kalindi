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 IMP\KALINDI DRY FRUITS\"/>
    </mc:Choice>
  </mc:AlternateContent>
  <xr:revisionPtr revIDLastSave="0" documentId="13_ncr:1_{29D78F4F-24E7-4764-8428-F561F02AF6FB}" xr6:coauthVersionLast="47" xr6:coauthVersionMax="47" xr10:uidLastSave="{00000000-0000-0000-0000-000000000000}"/>
  <bookViews>
    <workbookView xWindow="-110" yWindow="-110" windowWidth="19420" windowHeight="10300" xr2:uid="{BF580E6E-BD22-4B80-AAE2-15F39D115122}"/>
  </bookViews>
  <sheets>
    <sheet name="Sheet2 (140626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7" i="1" l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0" i="1"/>
  <c r="F70" i="1"/>
  <c r="G69" i="1"/>
  <c r="F69" i="1"/>
  <c r="G68" i="1"/>
  <c r="F68" i="1"/>
  <c r="G66" i="1"/>
  <c r="F66" i="1"/>
  <c r="G64" i="1"/>
  <c r="F64" i="1"/>
  <c r="G63" i="1"/>
  <c r="F63" i="1"/>
  <c r="G62" i="1"/>
  <c r="F62" i="1"/>
  <c r="G60" i="1"/>
  <c r="F60" i="1"/>
  <c r="G59" i="1"/>
  <c r="F59" i="1"/>
  <c r="G58" i="1"/>
  <c r="F58" i="1"/>
  <c r="G57" i="1"/>
  <c r="F57" i="1"/>
  <c r="G55" i="1"/>
  <c r="F55" i="1"/>
  <c r="G54" i="1"/>
  <c r="F54" i="1"/>
  <c r="G53" i="1"/>
  <c r="F53" i="1"/>
  <c r="G51" i="1"/>
  <c r="F51" i="1"/>
  <c r="G50" i="1"/>
  <c r="F50" i="1"/>
  <c r="G49" i="1"/>
  <c r="F49" i="1"/>
  <c r="G48" i="1"/>
  <c r="F48" i="1"/>
  <c r="G46" i="1"/>
  <c r="F46" i="1"/>
  <c r="G44" i="1"/>
  <c r="F44" i="1"/>
  <c r="G43" i="1"/>
  <c r="F43" i="1"/>
  <c r="G41" i="1"/>
  <c r="F41" i="1"/>
  <c r="G39" i="1"/>
  <c r="F39" i="1"/>
  <c r="G38" i="1"/>
  <c r="F38" i="1"/>
  <c r="G37" i="1"/>
  <c r="F37" i="1"/>
  <c r="G36" i="1"/>
  <c r="F36" i="1"/>
  <c r="G34" i="1"/>
  <c r="F34" i="1"/>
  <c r="G33" i="1"/>
  <c r="F33" i="1"/>
  <c r="G31" i="1"/>
  <c r="F31" i="1"/>
  <c r="G30" i="1"/>
  <c r="F30" i="1"/>
  <c r="G29" i="1"/>
  <c r="F29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E19" i="1"/>
  <c r="G19" i="1" s="1"/>
  <c r="G17" i="1"/>
  <c r="F17" i="1"/>
  <c r="G16" i="1"/>
  <c r="F16" i="1"/>
  <c r="G15" i="1"/>
  <c r="F15" i="1"/>
  <c r="G14" i="1"/>
  <c r="F14" i="1"/>
  <c r="G13" i="1"/>
  <c r="F13" i="1"/>
  <c r="G12" i="1"/>
  <c r="F12" i="1"/>
  <c r="F19" i="1" l="1"/>
</calcChain>
</file>

<file path=xl/sharedStrings.xml><?xml version="1.0" encoding="utf-8"?>
<sst xmlns="http://schemas.openxmlformats.org/spreadsheetml/2006/main" count="116" uniqueCount="94">
  <si>
    <t>ALMOND</t>
  </si>
  <si>
    <t>RATE PER KG</t>
  </si>
  <si>
    <t>PUR PRICE</t>
  </si>
  <si>
    <t>SALE PRICE</t>
  </si>
  <si>
    <t>MARGIN</t>
  </si>
  <si>
    <t>MARGIN IN %</t>
  </si>
  <si>
    <t>BADAM</t>
  </si>
  <si>
    <t>SP. BADAM</t>
  </si>
  <si>
    <t>WALNUT</t>
  </si>
  <si>
    <t>ROASTED BADAM</t>
  </si>
  <si>
    <t>TUKDA WALNUT</t>
  </si>
  <si>
    <t>SP. ROASTED BADAM</t>
  </si>
  <si>
    <t>MIXED KAJU</t>
  </si>
  <si>
    <t>MAMRA BADAM</t>
  </si>
  <si>
    <t>320 KAJU</t>
  </si>
  <si>
    <t>SP. MAMRA BADAM</t>
  </si>
  <si>
    <t>240 KAJU</t>
  </si>
  <si>
    <t>CASHEW</t>
  </si>
  <si>
    <t>ANJEER</t>
  </si>
  <si>
    <t>TUKDA KAJU</t>
  </si>
  <si>
    <t>NAMKIN PISTA</t>
  </si>
  <si>
    <t>MANUKA</t>
  </si>
  <si>
    <t xml:space="preserve"> </t>
  </si>
  <si>
    <t>BADANA</t>
  </si>
  <si>
    <t>210 KAJU</t>
  </si>
  <si>
    <t>180 KAJU</t>
  </si>
  <si>
    <t>MARI KAJU</t>
  </si>
  <si>
    <t>MASALA KAJU</t>
  </si>
  <si>
    <t>ROASTED KAJU</t>
  </si>
  <si>
    <t>PISTA</t>
  </si>
  <si>
    <t>GREEN PISTA</t>
  </si>
  <si>
    <t>2450/2550</t>
  </si>
  <si>
    <t>AA NAMKIN PISTA</t>
  </si>
  <si>
    <t>AAA NAMKIN PISTA</t>
  </si>
  <si>
    <t>1550/1650</t>
  </si>
  <si>
    <t>RAISINS</t>
  </si>
  <si>
    <t>NATURAL KISHMIS</t>
  </si>
  <si>
    <t>AFGHAN KISHMIS</t>
  </si>
  <si>
    <t>SP AFGHAN KISHMIS</t>
  </si>
  <si>
    <t>BLACK KISHMIS</t>
  </si>
  <si>
    <t>550/750</t>
  </si>
  <si>
    <t>400/680</t>
  </si>
  <si>
    <t>560/760</t>
  </si>
  <si>
    <t>SEEDLESS BLACK KISHMIS</t>
  </si>
  <si>
    <t>FIGS</t>
  </si>
  <si>
    <t>1550/1750/1850/2150</t>
  </si>
  <si>
    <t>ANJEER AA</t>
  </si>
  <si>
    <t>APRICOTS</t>
  </si>
  <si>
    <t>JARDALU</t>
  </si>
  <si>
    <t>650/750/850/950</t>
  </si>
  <si>
    <t>DATES</t>
  </si>
  <si>
    <t>FARD KHAJUR</t>
  </si>
  <si>
    <t>KALMI KHAJUR</t>
  </si>
  <si>
    <t>SAFAVI KHAJOOR</t>
  </si>
  <si>
    <t>MEDJOUL (AJWA)  KHAJUR</t>
  </si>
  <si>
    <t>SPICES * SAFFRON</t>
  </si>
  <si>
    <t>KESER 1 GRM</t>
  </si>
  <si>
    <t>KESER 5 GRM</t>
  </si>
  <si>
    <t>KESER 10 GRM</t>
  </si>
  <si>
    <t>OTHER CUSTOMISED</t>
  </si>
  <si>
    <t>MIX DRY FRUITS</t>
  </si>
  <si>
    <t>900/1100/1300</t>
  </si>
  <si>
    <t>560/800</t>
  </si>
  <si>
    <t>760/1000</t>
  </si>
  <si>
    <t>MIX DRY FRUITS CHOCOLATE</t>
  </si>
  <si>
    <t>MAKHANA (FOX NUT)</t>
  </si>
  <si>
    <t>DRY FRUITS MUSELI</t>
  </si>
  <si>
    <t>SEEDS</t>
  </si>
  <si>
    <t>SUNFLOWER SEEDS</t>
  </si>
  <si>
    <t>PUMKIN SEEDS</t>
  </si>
  <si>
    <t>MAGAJTARI SEEDS</t>
  </si>
  <si>
    <t>MASALAS</t>
  </si>
  <si>
    <t>SP. CHAI MASALA</t>
  </si>
  <si>
    <t>COMING SOON….</t>
  </si>
  <si>
    <t>MANGO PICKLE (HOME MADE)</t>
  </si>
  <si>
    <t>AALOO PAPAD (Seasonal)</t>
  </si>
  <si>
    <t>ASAFOETIDA * STRONG HING</t>
  </si>
  <si>
    <t>***</t>
  </si>
  <si>
    <t>Rates Subject to Change as per Market *                        Contact +918850353695</t>
  </si>
  <si>
    <t>Kashmiri powder</t>
  </si>
  <si>
    <t>Kashmiri Khandela</t>
  </si>
  <si>
    <t>Dhana jiru</t>
  </si>
  <si>
    <t>Dhana powder</t>
  </si>
  <si>
    <t>Haldi powder</t>
  </si>
  <si>
    <t>Tikka lal powder</t>
  </si>
  <si>
    <t>Rasem Patti</t>
  </si>
  <si>
    <t>Jeeru</t>
  </si>
  <si>
    <t>Barik rai</t>
  </si>
  <si>
    <t>Lavang</t>
  </si>
  <si>
    <t>Taj sp.</t>
  </si>
  <si>
    <t>Elachi</t>
  </si>
  <si>
    <t>4000/4600</t>
  </si>
  <si>
    <t>4200/5000</t>
  </si>
  <si>
    <t>Black pepper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</si>
</sst>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  <font>
      <sz val="12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86C9B"/>
        <bgColor indexed="64"/>
      </patternFill>
    </fill>
    <fill>
      <patternFill patternType="solid">
        <fgColor rgb="FFFC9CCA"/>
        <bgColor indexed="64"/>
      </patternFill>
    </fill>
    <fill>
      <patternFill patternType="solid">
        <fgColor rgb="FFCCFF9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2" borderId="4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1" fillId="0" borderId="0" xfId="0" applyFont="1"/>
    <xf numFmtId="0" fontId="3" fillId="4" borderId="5" xfId="0" applyFont="1" applyFill="1" applyBorder="1"/>
    <xf numFmtId="0" fontId="3" fillId="0" borderId="6" xfId="0" applyFont="1" applyBorder="1"/>
    <xf numFmtId="0" fontId="2" fillId="0" borderId="6" xfId="0" applyFont="1" applyBorder="1"/>
    <xf numFmtId="0" fontId="2" fillId="2" borderId="8" xfId="0" applyFont="1" applyFill="1" applyBorder="1"/>
    <xf numFmtId="0" fontId="3" fillId="0" borderId="16" xfId="0" applyFont="1" applyBorder="1"/>
    <xf numFmtId="2" fontId="3" fillId="0" borderId="8" xfId="0" applyNumberFormat="1" applyFont="1" applyBorder="1"/>
    <xf numFmtId="0" fontId="4" fillId="0" borderId="6" xfId="0" applyFont="1" applyBorder="1"/>
    <xf numFmtId="0" fontId="3" fillId="0" borderId="5" xfId="0" applyFont="1" applyBorder="1"/>
    <xf numFmtId="0" fontId="3" fillId="2" borderId="8" xfId="0" applyFont="1" applyFill="1" applyBorder="1"/>
    <xf numFmtId="0" fontId="2" fillId="3" borderId="5" xfId="0" applyFont="1" applyFill="1" applyBorder="1"/>
    <xf numFmtId="0" fontId="3" fillId="3" borderId="6" xfId="0" applyFont="1" applyFill="1" applyBorder="1"/>
    <xf numFmtId="0" fontId="3" fillId="3" borderId="16" xfId="0" applyFont="1" applyFill="1" applyBorder="1"/>
    <xf numFmtId="0" fontId="3" fillId="3" borderId="8" xfId="0" applyFont="1" applyFill="1" applyBorder="1"/>
    <xf numFmtId="0" fontId="3" fillId="0" borderId="17" xfId="0" applyFont="1" applyBorder="1"/>
    <xf numFmtId="0" fontId="3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16" xfId="0" applyFont="1" applyFill="1" applyBorder="1" applyAlignment="1">
      <alignment horizontal="right"/>
    </xf>
    <xf numFmtId="0" fontId="3" fillId="0" borderId="18" xfId="0" applyFont="1" applyBorder="1"/>
    <xf numFmtId="0" fontId="3" fillId="0" borderId="19" xfId="0" applyFont="1" applyBorder="1"/>
    <xf numFmtId="0" fontId="3" fillId="2" borderId="13" xfId="0" applyFont="1" applyFill="1" applyBorder="1"/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2" fillId="2" borderId="6" xfId="0" applyFont="1" applyFill="1" applyBorder="1"/>
    <xf numFmtId="0" fontId="5" fillId="0" borderId="6" xfId="0" applyFont="1" applyBorder="1"/>
    <xf numFmtId="0" fontId="6" fillId="0" borderId="6" xfId="0" applyFont="1" applyBorder="1"/>
    <xf numFmtId="0" fontId="5" fillId="2" borderId="6" xfId="0" applyFont="1" applyFill="1" applyBorder="1"/>
    <xf numFmtId="0" fontId="5" fillId="0" borderId="0" xfId="0" applyFont="1"/>
    <xf numFmtId="0" fontId="5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921863</xdr:colOff>
      <xdr:row>3</xdr:row>
      <xdr:rowOff>48836</xdr:rowOff>
    </xdr:from>
    <xdr:to>
      <xdr:col>2</xdr:col>
      <xdr:colOff>819150</xdr:colOff>
      <xdr:row>9</xdr:row>
      <xdr:rowOff>144127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7A1880-E3E4-4974-9D4B-8F1F5CF21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463" y="607636"/>
          <a:ext cx="2551587" cy="1200191"/>
        </a:xfrm>
        <a:prstGeom prst="rect">
          <a:avLst/>
        </a:prstGeom>
      </xdr:spPr>
    </xdr:pic>
    <xdr:clientData/>
  </xdr:twoCellAnchor>
  <xdr:twoCellAnchor editAs="oneCell">
    <xdr:from>
      <xdr:col>6</xdr:col>
      <xdr:colOff>66312</xdr:colOff>
      <xdr:row>70</xdr:row>
      <xdr:rowOff>70251</xdr:rowOff>
    </xdr:from>
    <xdr:to>
      <xdr:col>6</xdr:col>
      <xdr:colOff>263209</xdr:colOff>
      <xdr:row>70</xdr:row>
      <xdr:rowOff>267148</xdr:rowOff>
    </xdr:to>
    <xdr:pic>
      <xdr:nvPicPr>
        <xdr:cNvPr id="3" name="Graphic 2" descr="Smart Phone with solid fill">
          <a:extLst>
            <a:ext uri="{FF2B5EF4-FFF2-40B4-BE49-F238E27FC236}">
              <a16:creationId xmlns:a16="http://schemas.microsoft.com/office/drawing/2014/main" id="{9877B67D-9F0F-41EC-B28F-A171FD793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972399" flipV="1">
          <a:off x="7286262" y="13741801"/>
          <a:ext cx="196897" cy="196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53BB-0525-47A2-ACF2-D7BCD5AFA82C}">
  <sheetPr>
    <pageSetUpPr fitToPage="1"/>
  </sheetPr>
  <dimension ref="B2:M89"/>
  <sheetViews>
    <sheetView tabSelected="1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B66" sqref="B66"/>
    </sheetView>
  </sheetViews>
  <sheetFormatPr defaultRowHeight="14.5" x14ac:dyDescent="0.35"/>
  <cols>
    <col min="2" max="2" width="38" customWidth="1"/>
    <col min="3" max="3" width="23.26953125" customWidth="1"/>
    <col min="4" max="4" width="11.6328125" customWidth="1"/>
    <col min="5" max="5" width="12.453125" style="56" bestFit="1" customWidth="1"/>
    <col min="6" max="6" width="9.26953125" customWidth="1"/>
    <col min="7" max="7" width="13.81640625" customWidth="1"/>
    <col min="8" max="8" width="21.1796875" customWidth="1"/>
    <col min="9" max="9" width="19.1796875" bestFit="1" customWidth="1"/>
  </cols>
  <sheetData>
    <row r="2" spans="2:13" x14ac:dyDescent="0.35"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</row>
    <row r="3" spans="2:13" ht="15" thickBot="1" x14ac:dyDescent="0.4"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</row>
    <row r="4" spans="2:13" x14ac:dyDescent="0.35">
      <c r="B4" s="3"/>
      <c r="C4" s="4"/>
      <c r="D4" s="5"/>
      <c r="E4" s="5"/>
      <c r="F4" s="5"/>
      <c r="G4" s="6"/>
      <c r="H4" s="1"/>
      <c r="I4" s="1"/>
      <c r="J4" s="1"/>
      <c r="K4" s="1"/>
      <c r="L4" s="1"/>
      <c r="M4" s="1"/>
    </row>
    <row r="5" spans="2:13" x14ac:dyDescent="0.35">
      <c r="B5" s="7"/>
      <c r="C5" s="8"/>
      <c r="D5" s="9"/>
      <c r="E5" s="9"/>
      <c r="F5" s="9"/>
      <c r="G5" s="10"/>
      <c r="H5" s="1"/>
      <c r="I5" s="1"/>
      <c r="J5" s="1"/>
      <c r="K5" s="1"/>
      <c r="L5" s="1"/>
      <c r="M5" s="1"/>
    </row>
    <row r="6" spans="2:13" x14ac:dyDescent="0.35">
      <c r="B6" s="7"/>
      <c r="C6" s="8"/>
      <c r="D6" s="9"/>
      <c r="E6" s="9"/>
      <c r="F6" s="9"/>
      <c r="G6" s="10"/>
      <c r="H6" s="1"/>
      <c r="I6" s="1"/>
      <c r="J6" s="1"/>
      <c r="K6" s="1"/>
      <c r="L6" s="1"/>
      <c r="M6" s="1"/>
    </row>
    <row r="7" spans="2:13" x14ac:dyDescent="0.35">
      <c r="B7" s="7"/>
      <c r="C7" s="8"/>
      <c r="D7" s="9"/>
      <c r="E7" s="9"/>
      <c r="F7" s="9"/>
      <c r="G7" s="10"/>
      <c r="H7" s="1"/>
      <c r="I7" s="1"/>
      <c r="J7" s="1"/>
      <c r="K7" s="1"/>
      <c r="L7" s="1"/>
      <c r="M7" s="1"/>
    </row>
    <row r="8" spans="2:13" x14ac:dyDescent="0.35">
      <c r="B8" s="7"/>
      <c r="C8" s="8"/>
      <c r="D8" s="9"/>
      <c r="E8" s="9"/>
      <c r="F8" s="9"/>
      <c r="G8" s="10"/>
      <c r="H8" s="1"/>
      <c r="I8" s="1"/>
      <c r="J8" s="1"/>
      <c r="K8" s="1"/>
      <c r="L8" s="1"/>
      <c r="M8" s="1"/>
    </row>
    <row r="9" spans="2:13" x14ac:dyDescent="0.35">
      <c r="B9" s="7"/>
      <c r="C9" s="8"/>
      <c r="D9" s="9"/>
      <c r="E9" s="9"/>
      <c r="F9" s="9"/>
      <c r="G9" s="10"/>
    </row>
    <row r="10" spans="2:13" ht="15" thickBot="1" x14ac:dyDescent="0.4">
      <c r="B10" s="11"/>
      <c r="C10" s="12"/>
      <c r="D10" s="13"/>
      <c r="E10" s="13"/>
      <c r="F10" s="14"/>
      <c r="G10" s="15"/>
    </row>
    <row r="11" spans="2:13" s="21" customFormat="1" ht="15.5" x14ac:dyDescent="0.35">
      <c r="B11" s="16" t="s">
        <v>0</v>
      </c>
      <c r="C11" s="17" t="s">
        <v>1</v>
      </c>
      <c r="D11" s="17" t="s">
        <v>2</v>
      </c>
      <c r="E11" s="18" t="s">
        <v>3</v>
      </c>
      <c r="F11" s="19" t="s">
        <v>4</v>
      </c>
      <c r="G11" s="20" t="s">
        <v>5</v>
      </c>
    </row>
    <row r="12" spans="2:13" ht="15.5" x14ac:dyDescent="0.35">
      <c r="B12" s="22" t="s">
        <v>6</v>
      </c>
      <c r="C12" s="23">
        <v>830</v>
      </c>
      <c r="D12" s="24">
        <v>960</v>
      </c>
      <c r="E12" s="25">
        <v>1120</v>
      </c>
      <c r="F12" s="26">
        <f>+E12-D12</f>
        <v>160</v>
      </c>
      <c r="G12" s="27">
        <f>+E12*100/D12-100</f>
        <v>16.666666666666671</v>
      </c>
      <c r="I12" s="23" t="s">
        <v>6</v>
      </c>
      <c r="J12" s="28">
        <v>1000</v>
      </c>
    </row>
    <row r="13" spans="2:13" ht="15.5" x14ac:dyDescent="0.35">
      <c r="B13" s="22" t="s">
        <v>7</v>
      </c>
      <c r="C13" s="23">
        <v>1130</v>
      </c>
      <c r="D13" s="24">
        <v>1120</v>
      </c>
      <c r="E13" s="25">
        <v>1320</v>
      </c>
      <c r="F13" s="26">
        <f t="shared" ref="F13:F17" si="0">+E13-D13</f>
        <v>200</v>
      </c>
      <c r="G13" s="27">
        <f t="shared" ref="G13:G70" si="1">+E13*100/D13-100</f>
        <v>17.857142857142861</v>
      </c>
      <c r="I13" s="23" t="s">
        <v>8</v>
      </c>
      <c r="J13" s="28">
        <v>1650</v>
      </c>
    </row>
    <row r="14" spans="2:13" ht="15.5" x14ac:dyDescent="0.35">
      <c r="B14" s="29" t="s">
        <v>9</v>
      </c>
      <c r="C14" s="23">
        <v>1050</v>
      </c>
      <c r="D14" s="23">
        <v>1020</v>
      </c>
      <c r="E14" s="30">
        <v>1200</v>
      </c>
      <c r="F14" s="26">
        <f t="shared" si="0"/>
        <v>180</v>
      </c>
      <c r="G14" s="27">
        <f t="shared" si="1"/>
        <v>17.647058823529406</v>
      </c>
      <c r="I14" s="23" t="s">
        <v>10</v>
      </c>
      <c r="J14" s="28">
        <v>1300</v>
      </c>
    </row>
    <row r="15" spans="2:13" ht="15.5" x14ac:dyDescent="0.35">
      <c r="B15" s="29" t="s">
        <v>11</v>
      </c>
      <c r="C15" s="23">
        <v>1180</v>
      </c>
      <c r="D15" s="23">
        <v>1220</v>
      </c>
      <c r="E15" s="30">
        <v>1400</v>
      </c>
      <c r="F15" s="26">
        <f t="shared" si="0"/>
        <v>180</v>
      </c>
      <c r="G15" s="27">
        <f t="shared" si="1"/>
        <v>14.754098360655732</v>
      </c>
      <c r="I15" s="23" t="s">
        <v>12</v>
      </c>
      <c r="J15" s="28">
        <v>1020</v>
      </c>
    </row>
    <row r="16" spans="2:13" ht="15.5" x14ac:dyDescent="0.35">
      <c r="B16" s="22" t="s">
        <v>13</v>
      </c>
      <c r="C16" s="23">
        <v>2450</v>
      </c>
      <c r="D16" s="24">
        <v>3600</v>
      </c>
      <c r="E16" s="25">
        <v>4200</v>
      </c>
      <c r="F16" s="26">
        <f t="shared" si="0"/>
        <v>600</v>
      </c>
      <c r="G16" s="27">
        <f t="shared" si="1"/>
        <v>16.666666666666671</v>
      </c>
      <c r="I16" s="23" t="s">
        <v>14</v>
      </c>
      <c r="J16" s="28">
        <v>1180</v>
      </c>
    </row>
    <row r="17" spans="2:10" ht="15.5" x14ac:dyDescent="0.35">
      <c r="B17" s="29" t="s">
        <v>15</v>
      </c>
      <c r="C17" s="23">
        <v>3550</v>
      </c>
      <c r="D17" s="23">
        <v>3200</v>
      </c>
      <c r="E17" s="30">
        <v>3800</v>
      </c>
      <c r="F17" s="26">
        <f t="shared" si="0"/>
        <v>600</v>
      </c>
      <c r="G17" s="27">
        <f t="shared" si="1"/>
        <v>18.75</v>
      </c>
      <c r="I17" s="23" t="s">
        <v>16</v>
      </c>
      <c r="J17" s="28">
        <v>1300</v>
      </c>
    </row>
    <row r="18" spans="2:10" ht="15.5" x14ac:dyDescent="0.35">
      <c r="B18" s="31" t="s">
        <v>17</v>
      </c>
      <c r="C18" s="32"/>
      <c r="D18" s="32"/>
      <c r="E18" s="30"/>
      <c r="F18" s="33"/>
      <c r="G18" s="34"/>
      <c r="I18" s="23" t="s">
        <v>18</v>
      </c>
      <c r="J18" s="28">
        <v>1700</v>
      </c>
    </row>
    <row r="19" spans="2:10" ht="15.5" x14ac:dyDescent="0.35">
      <c r="B19" s="22" t="s">
        <v>19</v>
      </c>
      <c r="C19" s="23">
        <v>780</v>
      </c>
      <c r="D19" s="24">
        <v>900</v>
      </c>
      <c r="E19" s="25">
        <f>1000+20</f>
        <v>1020</v>
      </c>
      <c r="F19" s="26">
        <f t="shared" ref="F19:F27" si="2">+E19-D19</f>
        <v>120</v>
      </c>
      <c r="G19" s="27">
        <f t="shared" si="1"/>
        <v>13.333333333333329</v>
      </c>
      <c r="I19" s="23" t="s">
        <v>20</v>
      </c>
      <c r="J19" s="28">
        <v>1300</v>
      </c>
    </row>
    <row r="20" spans="2:10" ht="15.5" x14ac:dyDescent="0.35">
      <c r="B20" s="22" t="s">
        <v>12</v>
      </c>
      <c r="C20" s="23">
        <v>880</v>
      </c>
      <c r="D20" s="24">
        <v>960</v>
      </c>
      <c r="E20" s="25">
        <v>1120</v>
      </c>
      <c r="F20" s="26">
        <f t="shared" si="2"/>
        <v>160</v>
      </c>
      <c r="G20" s="27">
        <f t="shared" si="1"/>
        <v>16.666666666666671</v>
      </c>
      <c r="I20" s="23" t="s">
        <v>20</v>
      </c>
      <c r="J20" s="28">
        <v>1700</v>
      </c>
    </row>
    <row r="21" spans="2:10" ht="15.5" x14ac:dyDescent="0.35">
      <c r="B21" s="22" t="s">
        <v>14</v>
      </c>
      <c r="C21" s="23">
        <v>980</v>
      </c>
      <c r="D21" s="24">
        <v>1060</v>
      </c>
      <c r="E21" s="25">
        <v>1260</v>
      </c>
      <c r="F21" s="26">
        <f t="shared" si="2"/>
        <v>200</v>
      </c>
      <c r="G21" s="27">
        <f t="shared" si="1"/>
        <v>18.867924528301884</v>
      </c>
      <c r="I21" s="35" t="s">
        <v>21</v>
      </c>
      <c r="J21" t="s">
        <v>22</v>
      </c>
    </row>
    <row r="22" spans="2:10" ht="15.5" x14ac:dyDescent="0.35">
      <c r="B22" s="22" t="s">
        <v>16</v>
      </c>
      <c r="C22" s="23">
        <v>1080</v>
      </c>
      <c r="D22" s="24">
        <v>1150</v>
      </c>
      <c r="E22" s="25">
        <v>1400</v>
      </c>
      <c r="F22" s="26">
        <f t="shared" si="2"/>
        <v>250</v>
      </c>
      <c r="G22" s="27">
        <f t="shared" si="1"/>
        <v>21.739130434782609</v>
      </c>
      <c r="I22" s="29" t="s">
        <v>23</v>
      </c>
      <c r="J22" t="s">
        <v>22</v>
      </c>
    </row>
    <row r="23" spans="2:10" ht="15.5" x14ac:dyDescent="0.35">
      <c r="B23" s="22" t="s">
        <v>24</v>
      </c>
      <c r="C23" s="23">
        <v>1280</v>
      </c>
      <c r="D23" s="24">
        <v>1200</v>
      </c>
      <c r="E23" s="25">
        <v>1500</v>
      </c>
      <c r="F23" s="26">
        <f t="shared" si="2"/>
        <v>300</v>
      </c>
      <c r="G23" s="27">
        <f t="shared" si="1"/>
        <v>25</v>
      </c>
    </row>
    <row r="24" spans="2:10" ht="15.5" x14ac:dyDescent="0.35">
      <c r="B24" s="22" t="s">
        <v>25</v>
      </c>
      <c r="C24" s="23">
        <v>1480</v>
      </c>
      <c r="D24" s="24">
        <v>1350</v>
      </c>
      <c r="E24" s="25">
        <v>1650</v>
      </c>
      <c r="F24" s="26">
        <f t="shared" si="2"/>
        <v>300</v>
      </c>
      <c r="G24" s="27">
        <f t="shared" si="1"/>
        <v>22.222222222222229</v>
      </c>
    </row>
    <row r="25" spans="2:10" ht="15.5" x14ac:dyDescent="0.35">
      <c r="B25" s="22" t="s">
        <v>26</v>
      </c>
      <c r="C25" s="23">
        <v>1350</v>
      </c>
      <c r="D25" s="24">
        <v>1200</v>
      </c>
      <c r="E25" s="25">
        <v>1400</v>
      </c>
      <c r="F25" s="26">
        <f t="shared" si="2"/>
        <v>200</v>
      </c>
      <c r="G25" s="27">
        <f t="shared" si="1"/>
        <v>16.666666666666671</v>
      </c>
    </row>
    <row r="26" spans="2:10" ht="15.5" x14ac:dyDescent="0.35">
      <c r="B26" s="22" t="s">
        <v>27</v>
      </c>
      <c r="C26" s="23">
        <v>1350</v>
      </c>
      <c r="D26" s="24">
        <v>1200</v>
      </c>
      <c r="E26" s="25">
        <v>1400</v>
      </c>
      <c r="F26" s="26">
        <f t="shared" si="2"/>
        <v>200</v>
      </c>
      <c r="G26" s="27">
        <f t="shared" si="1"/>
        <v>16.666666666666671</v>
      </c>
    </row>
    <row r="27" spans="2:10" ht="15.5" x14ac:dyDescent="0.35">
      <c r="B27" s="22" t="s">
        <v>28</v>
      </c>
      <c r="C27" s="23">
        <v>1350</v>
      </c>
      <c r="D27" s="24">
        <v>1300</v>
      </c>
      <c r="E27" s="25">
        <v>1500</v>
      </c>
      <c r="F27" s="26">
        <f t="shared" si="2"/>
        <v>200</v>
      </c>
      <c r="G27" s="27">
        <f t="shared" si="1"/>
        <v>15.384615384615387</v>
      </c>
    </row>
    <row r="28" spans="2:10" ht="15.5" x14ac:dyDescent="0.35">
      <c r="B28" s="31" t="s">
        <v>29</v>
      </c>
      <c r="C28" s="32"/>
      <c r="D28" s="32"/>
      <c r="E28" s="30"/>
      <c r="F28" s="33"/>
      <c r="G28" s="34"/>
    </row>
    <row r="29" spans="2:10" ht="15.5" x14ac:dyDescent="0.35">
      <c r="B29" s="22" t="s">
        <v>30</v>
      </c>
      <c r="C29" s="36" t="s">
        <v>31</v>
      </c>
      <c r="D29" s="37">
        <v>2900</v>
      </c>
      <c r="E29" s="38">
        <v>3200</v>
      </c>
      <c r="F29" s="26">
        <f t="shared" ref="F29:F31" si="3">+E29-D29</f>
        <v>300</v>
      </c>
      <c r="G29" s="27">
        <f t="shared" si="1"/>
        <v>10.34482758620689</v>
      </c>
    </row>
    <row r="30" spans="2:10" ht="15.5" x14ac:dyDescent="0.35">
      <c r="B30" s="22" t="s">
        <v>32</v>
      </c>
      <c r="C30" s="23">
        <v>1450</v>
      </c>
      <c r="D30" s="24">
        <v>1500</v>
      </c>
      <c r="E30" s="25">
        <v>1700</v>
      </c>
      <c r="F30" s="26">
        <f t="shared" si="3"/>
        <v>200</v>
      </c>
      <c r="G30" s="27">
        <f t="shared" si="1"/>
        <v>13.333333333333329</v>
      </c>
    </row>
    <row r="31" spans="2:10" ht="15.5" x14ac:dyDescent="0.35">
      <c r="B31" s="22" t="s">
        <v>33</v>
      </c>
      <c r="C31" s="23">
        <v>1850</v>
      </c>
      <c r="D31" s="24">
        <v>1800</v>
      </c>
      <c r="E31" s="25">
        <v>2100</v>
      </c>
      <c r="F31" s="26">
        <f t="shared" si="3"/>
        <v>300</v>
      </c>
      <c r="G31" s="27">
        <f t="shared" si="1"/>
        <v>16.666666666666671</v>
      </c>
    </row>
    <row r="32" spans="2:10" ht="15.5" x14ac:dyDescent="0.35">
      <c r="B32" s="31" t="s">
        <v>8</v>
      </c>
      <c r="C32" s="32"/>
      <c r="D32" s="32"/>
      <c r="E32" s="30"/>
      <c r="F32" s="33"/>
      <c r="G32" s="34"/>
    </row>
    <row r="33" spans="2:10" ht="15.5" x14ac:dyDescent="0.35">
      <c r="B33" s="22" t="s">
        <v>8</v>
      </c>
      <c r="C33" s="36" t="s">
        <v>34</v>
      </c>
      <c r="D33" s="37">
        <v>1800</v>
      </c>
      <c r="E33" s="38">
        <v>2100</v>
      </c>
      <c r="F33" s="26">
        <f t="shared" ref="F33:F34" si="4">+E33-D33</f>
        <v>300</v>
      </c>
      <c r="G33" s="27">
        <f t="shared" si="1"/>
        <v>16.666666666666671</v>
      </c>
      <c r="I33" s="29" t="s">
        <v>22</v>
      </c>
      <c r="J33" t="s">
        <v>22</v>
      </c>
    </row>
    <row r="34" spans="2:10" ht="15.5" x14ac:dyDescent="0.35">
      <c r="B34" s="22" t="s">
        <v>10</v>
      </c>
      <c r="C34" s="23">
        <v>1150</v>
      </c>
      <c r="D34" s="24">
        <v>1400</v>
      </c>
      <c r="E34" s="25">
        <v>1600</v>
      </c>
      <c r="F34" s="26">
        <f t="shared" si="4"/>
        <v>200</v>
      </c>
      <c r="G34" s="27">
        <f t="shared" si="1"/>
        <v>14.285714285714292</v>
      </c>
      <c r="I34" s="29" t="s">
        <v>22</v>
      </c>
      <c r="J34" t="s">
        <v>22</v>
      </c>
    </row>
    <row r="35" spans="2:10" ht="15.5" x14ac:dyDescent="0.35">
      <c r="B35" s="31" t="s">
        <v>35</v>
      </c>
      <c r="C35" s="32"/>
      <c r="D35" s="32"/>
      <c r="E35" s="30"/>
      <c r="F35" s="33"/>
      <c r="G35" s="34"/>
    </row>
    <row r="36" spans="2:10" ht="15.5" x14ac:dyDescent="0.35">
      <c r="B36" s="22" t="s">
        <v>36</v>
      </c>
      <c r="C36" s="23">
        <v>550</v>
      </c>
      <c r="D36" s="24">
        <v>540</v>
      </c>
      <c r="E36" s="25">
        <v>640</v>
      </c>
      <c r="F36" s="26">
        <f t="shared" ref="F36:F41" si="5">+E36-D36</f>
        <v>100</v>
      </c>
      <c r="G36" s="27">
        <f t="shared" si="1"/>
        <v>18.518518518518519</v>
      </c>
    </row>
    <row r="37" spans="2:10" ht="15.5" x14ac:dyDescent="0.35">
      <c r="B37" s="29" t="s">
        <v>37</v>
      </c>
      <c r="C37" s="23">
        <v>800</v>
      </c>
      <c r="D37" s="23">
        <v>720</v>
      </c>
      <c r="E37" s="30">
        <v>820</v>
      </c>
      <c r="F37" s="26">
        <f t="shared" si="5"/>
        <v>100</v>
      </c>
      <c r="G37" s="27">
        <f t="shared" si="1"/>
        <v>13.888888888888886</v>
      </c>
    </row>
    <row r="38" spans="2:10" ht="15.5" x14ac:dyDescent="0.35">
      <c r="B38" s="29" t="s">
        <v>38</v>
      </c>
      <c r="C38" s="23">
        <v>1250</v>
      </c>
      <c r="D38" s="23">
        <v>1600</v>
      </c>
      <c r="E38" s="30">
        <v>1800</v>
      </c>
      <c r="F38" s="26">
        <f t="shared" si="5"/>
        <v>200</v>
      </c>
      <c r="G38" s="27">
        <f t="shared" si="1"/>
        <v>12.5</v>
      </c>
    </row>
    <row r="39" spans="2:10" ht="15.5" x14ac:dyDescent="0.35">
      <c r="B39" s="29" t="s">
        <v>39</v>
      </c>
      <c r="C39" s="36" t="s">
        <v>40</v>
      </c>
      <c r="D39" s="36" t="s">
        <v>41</v>
      </c>
      <c r="E39" s="39" t="s">
        <v>42</v>
      </c>
      <c r="F39" s="26" t="e">
        <f t="shared" si="5"/>
        <v>#VALUE!</v>
      </c>
      <c r="G39" s="27" t="e">
        <f t="shared" si="1"/>
        <v>#VALUE!</v>
      </c>
    </row>
    <row r="40" spans="2:10" ht="15.5" x14ac:dyDescent="0.35">
      <c r="B40" s="29" t="s">
        <v>43</v>
      </c>
      <c r="C40" s="36"/>
      <c r="D40" s="36">
        <v>560</v>
      </c>
      <c r="E40" s="39">
        <v>680</v>
      </c>
      <c r="F40" s="26"/>
      <c r="G40" s="27"/>
    </row>
    <row r="41" spans="2:10" ht="15.5" x14ac:dyDescent="0.35">
      <c r="B41" s="29" t="s">
        <v>21</v>
      </c>
      <c r="C41" s="36">
        <v>1400</v>
      </c>
      <c r="D41" s="36">
        <v>1400</v>
      </c>
      <c r="E41" s="39">
        <v>1400</v>
      </c>
      <c r="F41" s="26">
        <f t="shared" si="5"/>
        <v>0</v>
      </c>
      <c r="G41" s="27">
        <f t="shared" si="1"/>
        <v>0</v>
      </c>
    </row>
    <row r="42" spans="2:10" ht="15.5" x14ac:dyDescent="0.35">
      <c r="B42" s="31" t="s">
        <v>44</v>
      </c>
      <c r="C42" s="32"/>
      <c r="D42" s="32"/>
      <c r="E42" s="30"/>
      <c r="F42" s="33"/>
      <c r="G42" s="34"/>
    </row>
    <row r="43" spans="2:10" ht="15.5" x14ac:dyDescent="0.35">
      <c r="B43" s="22" t="s">
        <v>18</v>
      </c>
      <c r="C43" s="36" t="s">
        <v>45</v>
      </c>
      <c r="D43" s="37">
        <v>1400</v>
      </c>
      <c r="E43" s="38">
        <v>1600</v>
      </c>
      <c r="F43" s="26">
        <f>+E43-D43</f>
        <v>200</v>
      </c>
      <c r="G43" s="27">
        <f t="shared" ref="G43" si="6">+E43*100/D43-100</f>
        <v>14.285714285714292</v>
      </c>
    </row>
    <row r="44" spans="2:10" ht="15.5" x14ac:dyDescent="0.35">
      <c r="B44" s="22" t="s">
        <v>46</v>
      </c>
      <c r="C44" s="36" t="s">
        <v>45</v>
      </c>
      <c r="D44" s="37">
        <v>1800</v>
      </c>
      <c r="E44" s="38">
        <v>2100</v>
      </c>
      <c r="F44" s="26">
        <f>+E44-D44</f>
        <v>300</v>
      </c>
      <c r="G44" s="27">
        <f t="shared" si="1"/>
        <v>16.666666666666671</v>
      </c>
    </row>
    <row r="45" spans="2:10" ht="15.5" x14ac:dyDescent="0.35">
      <c r="B45" s="31" t="s">
        <v>47</v>
      </c>
      <c r="C45" s="40"/>
      <c r="D45" s="40"/>
      <c r="E45" s="39"/>
      <c r="F45" s="41"/>
      <c r="G45" s="34"/>
    </row>
    <row r="46" spans="2:10" ht="15.5" x14ac:dyDescent="0.35">
      <c r="B46" s="29" t="s">
        <v>48</v>
      </c>
      <c r="C46" s="36" t="s">
        <v>49</v>
      </c>
      <c r="D46" s="36">
        <v>600</v>
      </c>
      <c r="E46" s="39">
        <v>750</v>
      </c>
      <c r="F46" s="26">
        <f>+E46-D46</f>
        <v>150</v>
      </c>
      <c r="G46" s="27">
        <f t="shared" si="1"/>
        <v>25</v>
      </c>
    </row>
    <row r="47" spans="2:10" ht="15.5" x14ac:dyDescent="0.35">
      <c r="B47" s="31" t="s">
        <v>50</v>
      </c>
      <c r="C47" s="32"/>
      <c r="D47" s="32"/>
      <c r="E47" s="30"/>
      <c r="F47" s="33"/>
      <c r="G47" s="34"/>
    </row>
    <row r="48" spans="2:10" ht="15.5" x14ac:dyDescent="0.35">
      <c r="B48" s="29" t="s">
        <v>51</v>
      </c>
      <c r="C48" s="23">
        <v>400</v>
      </c>
      <c r="D48" s="23">
        <v>420</v>
      </c>
      <c r="E48" s="30">
        <v>500</v>
      </c>
      <c r="F48" s="26">
        <f t="shared" ref="F48:F51" si="7">+E48-D48</f>
        <v>80</v>
      </c>
      <c r="G48" s="27">
        <f t="shared" si="1"/>
        <v>19.047619047619051</v>
      </c>
    </row>
    <row r="49" spans="2:7" ht="15.5" x14ac:dyDescent="0.35">
      <c r="B49" s="29" t="s">
        <v>52</v>
      </c>
      <c r="C49" s="23">
        <v>900</v>
      </c>
      <c r="D49" s="23">
        <v>760</v>
      </c>
      <c r="E49" s="30">
        <v>900</v>
      </c>
      <c r="F49" s="26">
        <f t="shared" si="7"/>
        <v>140</v>
      </c>
      <c r="G49" s="27">
        <f t="shared" si="1"/>
        <v>18.421052631578945</v>
      </c>
    </row>
    <row r="50" spans="2:7" ht="15.5" x14ac:dyDescent="0.35">
      <c r="B50" s="22" t="s">
        <v>53</v>
      </c>
      <c r="C50" s="23"/>
      <c r="D50" s="24">
        <v>720</v>
      </c>
      <c r="E50" s="25">
        <v>820</v>
      </c>
      <c r="F50" s="26">
        <f t="shared" si="7"/>
        <v>100</v>
      </c>
      <c r="G50" s="27">
        <f t="shared" si="1"/>
        <v>13.888888888888886</v>
      </c>
    </row>
    <row r="51" spans="2:7" ht="15.5" x14ac:dyDescent="0.35">
      <c r="B51" s="22" t="s">
        <v>54</v>
      </c>
      <c r="C51" s="23">
        <v>0</v>
      </c>
      <c r="D51" s="24">
        <v>1400</v>
      </c>
      <c r="E51" s="25">
        <v>1700</v>
      </c>
      <c r="F51" s="26">
        <f t="shared" si="7"/>
        <v>300</v>
      </c>
      <c r="G51" s="27">
        <f t="shared" si="1"/>
        <v>21.428571428571431</v>
      </c>
    </row>
    <row r="52" spans="2:7" ht="15.5" x14ac:dyDescent="0.35">
      <c r="B52" s="31" t="s">
        <v>55</v>
      </c>
      <c r="C52" s="32"/>
      <c r="D52" s="32"/>
      <c r="E52" s="30"/>
      <c r="F52" s="33"/>
      <c r="G52" s="34"/>
    </row>
    <row r="53" spans="2:7" ht="15.5" x14ac:dyDescent="0.35">
      <c r="B53" s="22" t="s">
        <v>56</v>
      </c>
      <c r="C53" s="23">
        <v>240</v>
      </c>
      <c r="D53" s="23">
        <v>120</v>
      </c>
      <c r="E53" s="30">
        <v>200</v>
      </c>
      <c r="F53" s="26">
        <f t="shared" ref="F53:F55" si="8">+E53-D53</f>
        <v>80</v>
      </c>
      <c r="G53" s="27">
        <f t="shared" si="1"/>
        <v>66.666666666666657</v>
      </c>
    </row>
    <row r="54" spans="2:7" ht="15.5" x14ac:dyDescent="0.35">
      <c r="B54" s="22" t="s">
        <v>57</v>
      </c>
      <c r="C54" s="23">
        <v>900</v>
      </c>
      <c r="D54" s="23">
        <v>600</v>
      </c>
      <c r="E54" s="30">
        <v>1000</v>
      </c>
      <c r="F54" s="26">
        <f t="shared" si="8"/>
        <v>400</v>
      </c>
      <c r="G54" s="27">
        <f t="shared" si="1"/>
        <v>66.666666666666657</v>
      </c>
    </row>
    <row r="55" spans="2:7" ht="15.5" x14ac:dyDescent="0.35">
      <c r="B55" s="22" t="s">
        <v>58</v>
      </c>
      <c r="C55" s="23">
        <v>2000</v>
      </c>
      <c r="D55" s="23">
        <v>1100</v>
      </c>
      <c r="E55" s="30">
        <v>1800</v>
      </c>
      <c r="F55" s="26">
        <f t="shared" si="8"/>
        <v>700</v>
      </c>
      <c r="G55" s="27">
        <f t="shared" si="1"/>
        <v>63.636363636363626</v>
      </c>
    </row>
    <row r="56" spans="2:7" ht="15.5" x14ac:dyDescent="0.35">
      <c r="B56" s="31" t="s">
        <v>59</v>
      </c>
      <c r="C56" s="32"/>
      <c r="D56" s="32"/>
      <c r="E56" s="30"/>
      <c r="F56" s="33"/>
      <c r="G56" s="34"/>
    </row>
    <row r="57" spans="2:7" ht="15.5" x14ac:dyDescent="0.35">
      <c r="B57" s="29" t="s">
        <v>60</v>
      </c>
      <c r="C57" s="36" t="s">
        <v>61</v>
      </c>
      <c r="D57" s="36" t="s">
        <v>62</v>
      </c>
      <c r="E57" s="39" t="s">
        <v>63</v>
      </c>
      <c r="F57" s="26" t="e">
        <f t="shared" ref="F57:F60" si="9">+E57-D57</f>
        <v>#VALUE!</v>
      </c>
      <c r="G57" s="27" t="e">
        <f t="shared" si="1"/>
        <v>#VALUE!</v>
      </c>
    </row>
    <row r="58" spans="2:7" ht="15.5" x14ac:dyDescent="0.35">
      <c r="B58" s="29" t="s">
        <v>64</v>
      </c>
      <c r="C58" s="23">
        <v>900</v>
      </c>
      <c r="D58" s="23">
        <v>680</v>
      </c>
      <c r="E58" s="30">
        <v>900</v>
      </c>
      <c r="F58" s="26">
        <f t="shared" si="9"/>
        <v>220</v>
      </c>
      <c r="G58" s="27">
        <f t="shared" si="1"/>
        <v>32.35294117647058</v>
      </c>
    </row>
    <row r="59" spans="2:7" ht="15.5" x14ac:dyDescent="0.35">
      <c r="B59" s="22" t="s">
        <v>65</v>
      </c>
      <c r="C59" s="23"/>
      <c r="D59" s="24">
        <v>1300</v>
      </c>
      <c r="E59" s="25">
        <v>1500</v>
      </c>
      <c r="F59" s="26">
        <f t="shared" si="9"/>
        <v>200</v>
      </c>
      <c r="G59" s="27">
        <f t="shared" si="1"/>
        <v>15.384615384615387</v>
      </c>
    </row>
    <row r="60" spans="2:7" ht="15.5" x14ac:dyDescent="0.35">
      <c r="B60" s="22" t="s">
        <v>66</v>
      </c>
      <c r="C60" s="23"/>
      <c r="D60" s="24">
        <v>760</v>
      </c>
      <c r="E60" s="25">
        <v>960</v>
      </c>
      <c r="F60" s="26">
        <f t="shared" si="9"/>
        <v>200</v>
      </c>
      <c r="G60" s="27">
        <f t="shared" si="1"/>
        <v>26.315789473684205</v>
      </c>
    </row>
    <row r="61" spans="2:7" ht="15.5" x14ac:dyDescent="0.35">
      <c r="B61" s="31" t="s">
        <v>67</v>
      </c>
      <c r="C61" s="32"/>
      <c r="D61" s="32"/>
      <c r="E61" s="30"/>
      <c r="F61" s="33"/>
      <c r="G61" s="34"/>
    </row>
    <row r="62" spans="2:7" ht="15.5" x14ac:dyDescent="0.35">
      <c r="B62" s="29" t="s">
        <v>68</v>
      </c>
      <c r="C62" s="23">
        <v>450</v>
      </c>
      <c r="D62" s="23">
        <v>320</v>
      </c>
      <c r="E62" s="30">
        <v>400</v>
      </c>
      <c r="F62" s="26">
        <f t="shared" ref="F62:F64" si="10">+E62-D62</f>
        <v>80</v>
      </c>
      <c r="G62" s="27">
        <f t="shared" si="1"/>
        <v>25</v>
      </c>
    </row>
    <row r="63" spans="2:7" ht="15.5" x14ac:dyDescent="0.35">
      <c r="B63" s="22" t="s">
        <v>69</v>
      </c>
      <c r="C63" s="23">
        <v>700</v>
      </c>
      <c r="D63" s="24">
        <v>520</v>
      </c>
      <c r="E63" s="25">
        <v>640</v>
      </c>
      <c r="F63" s="26">
        <f t="shared" si="10"/>
        <v>120</v>
      </c>
      <c r="G63" s="27">
        <f t="shared" si="1"/>
        <v>23.07692307692308</v>
      </c>
    </row>
    <row r="64" spans="2:7" ht="15.5" x14ac:dyDescent="0.35">
      <c r="B64" s="29" t="s">
        <v>70</v>
      </c>
      <c r="C64" s="23">
        <v>1000</v>
      </c>
      <c r="D64" s="23">
        <v>680</v>
      </c>
      <c r="E64" s="30">
        <v>800</v>
      </c>
      <c r="F64" s="26">
        <f t="shared" si="10"/>
        <v>120</v>
      </c>
      <c r="G64" s="27">
        <f t="shared" si="1"/>
        <v>17.647058823529406</v>
      </c>
    </row>
    <row r="65" spans="2:7" ht="15.5" x14ac:dyDescent="0.35">
      <c r="B65" s="31" t="s">
        <v>71</v>
      </c>
      <c r="C65" s="32"/>
      <c r="D65" s="32"/>
      <c r="E65" s="30"/>
      <c r="F65" s="33"/>
      <c r="G65" s="34"/>
    </row>
    <row r="66" spans="2:7" ht="15.5" x14ac:dyDescent="0.35">
      <c r="B66" s="22" t="s">
        <v>72</v>
      </c>
      <c r="C66" s="23">
        <v>1400</v>
      </c>
      <c r="D66" s="24">
        <v>1200</v>
      </c>
      <c r="E66" s="25">
        <v>1500</v>
      </c>
      <c r="F66" s="26">
        <f>+E66-D66</f>
        <v>300</v>
      </c>
      <c r="G66" s="27">
        <f t="shared" si="1"/>
        <v>25</v>
      </c>
    </row>
    <row r="67" spans="2:7" ht="15.5" x14ac:dyDescent="0.35">
      <c r="B67" s="31" t="s">
        <v>73</v>
      </c>
      <c r="C67" s="32"/>
      <c r="D67" s="32"/>
      <c r="E67" s="30"/>
      <c r="F67" s="33"/>
      <c r="G67" s="34"/>
    </row>
    <row r="68" spans="2:7" ht="15.5" x14ac:dyDescent="0.35">
      <c r="B68" s="29" t="s">
        <v>74</v>
      </c>
      <c r="C68" s="23" t="s">
        <v>22</v>
      </c>
      <c r="D68" s="24">
        <v>525</v>
      </c>
      <c r="E68" s="25">
        <v>600</v>
      </c>
      <c r="F68" s="26">
        <f t="shared" ref="F68:F70" si="11">+E68-D68</f>
        <v>75</v>
      </c>
      <c r="G68" s="27">
        <f t="shared" si="1"/>
        <v>14.285714285714292</v>
      </c>
    </row>
    <row r="69" spans="2:7" ht="15.5" x14ac:dyDescent="0.35">
      <c r="B69" s="29" t="s">
        <v>75</v>
      </c>
      <c r="C69" s="23"/>
      <c r="D69" s="24">
        <v>325</v>
      </c>
      <c r="E69" s="25">
        <v>400</v>
      </c>
      <c r="F69" s="26">
        <f t="shared" si="11"/>
        <v>75</v>
      </c>
      <c r="G69" s="27">
        <f t="shared" si="1"/>
        <v>23.07692307692308</v>
      </c>
    </row>
    <row r="70" spans="2:7" ht="16" thickBot="1" x14ac:dyDescent="0.4">
      <c r="B70" s="42" t="s">
        <v>76</v>
      </c>
      <c r="C70" s="43"/>
      <c r="D70" s="43"/>
      <c r="E70" s="44" t="s">
        <v>77</v>
      </c>
      <c r="F70" s="26" t="e">
        <f t="shared" si="11"/>
        <v>#VALUE!</v>
      </c>
      <c r="G70" s="27" t="e">
        <f t="shared" si="1"/>
        <v>#VALUE!</v>
      </c>
    </row>
    <row r="71" spans="2:7" ht="28.5" customHeight="1" thickBot="1" x14ac:dyDescent="0.4">
      <c r="B71" s="45" t="s">
        <v>78</v>
      </c>
      <c r="C71" s="46"/>
      <c r="D71" s="46"/>
      <c r="E71" s="46"/>
      <c r="F71" s="47"/>
      <c r="G71" s="48"/>
    </row>
    <row r="74" spans="2:7" ht="15.5" x14ac:dyDescent="0.35">
      <c r="B74" s="49" t="s">
        <v>71</v>
      </c>
      <c r="C74" s="32"/>
      <c r="D74" s="49" t="s">
        <v>2</v>
      </c>
      <c r="E74" s="50" t="s">
        <v>3</v>
      </c>
      <c r="F74" s="49" t="s">
        <v>4</v>
      </c>
      <c r="G74" s="49" t="s">
        <v>5</v>
      </c>
    </row>
    <row r="75" spans="2:7" ht="15.5" x14ac:dyDescent="0.35">
      <c r="B75" s="23" t="s">
        <v>79</v>
      </c>
      <c r="C75" s="51"/>
      <c r="D75" s="52">
        <v>720</v>
      </c>
      <c r="E75" s="53">
        <v>460</v>
      </c>
      <c r="F75" s="23">
        <f t="shared" ref="F75:F87" si="12">+E75-D75</f>
        <v>-260</v>
      </c>
      <c r="G75" s="27">
        <f t="shared" ref="G75:G87" si="13">+E75*100/D75-100</f>
        <v>-36.111111111111114</v>
      </c>
    </row>
    <row r="76" spans="2:7" ht="15.5" x14ac:dyDescent="0.35">
      <c r="B76" s="23" t="s">
        <v>80</v>
      </c>
      <c r="C76" s="51"/>
      <c r="D76" s="51">
        <v>430</v>
      </c>
      <c r="E76" s="53">
        <v>500</v>
      </c>
      <c r="F76" s="23">
        <f t="shared" si="12"/>
        <v>70</v>
      </c>
      <c r="G76" s="27">
        <f t="shared" si="13"/>
        <v>16.279069767441854</v>
      </c>
    </row>
    <row r="77" spans="2:7" ht="15.5" x14ac:dyDescent="0.35">
      <c r="B77" s="23" t="s">
        <v>81</v>
      </c>
      <c r="C77" s="51"/>
      <c r="D77" s="52">
        <v>360</v>
      </c>
      <c r="E77" s="53">
        <v>380</v>
      </c>
      <c r="F77" s="23">
        <f t="shared" si="12"/>
        <v>20</v>
      </c>
      <c r="G77" s="27">
        <f t="shared" si="13"/>
        <v>5.5555555555555571</v>
      </c>
    </row>
    <row r="78" spans="2:7" ht="15.5" x14ac:dyDescent="0.35">
      <c r="B78" s="23" t="s">
        <v>82</v>
      </c>
      <c r="C78" s="51"/>
      <c r="D78" s="51">
        <v>280</v>
      </c>
      <c r="E78" s="53">
        <v>340</v>
      </c>
      <c r="F78" s="23">
        <f t="shared" si="12"/>
        <v>60</v>
      </c>
      <c r="G78" s="27">
        <f t="shared" si="13"/>
        <v>21.428571428571431</v>
      </c>
    </row>
    <row r="79" spans="2:7" ht="15.5" x14ac:dyDescent="0.35">
      <c r="B79" s="23" t="s">
        <v>83</v>
      </c>
      <c r="C79" s="51"/>
      <c r="D79" s="52">
        <v>300</v>
      </c>
      <c r="E79" s="53">
        <v>380</v>
      </c>
      <c r="F79" s="23">
        <f t="shared" si="12"/>
        <v>80</v>
      </c>
      <c r="G79" s="27">
        <f t="shared" si="13"/>
        <v>26.666666666666671</v>
      </c>
    </row>
    <row r="80" spans="2:7" ht="15.5" x14ac:dyDescent="0.35">
      <c r="B80" s="23" t="s">
        <v>84</v>
      </c>
      <c r="C80" s="51"/>
      <c r="D80" s="52">
        <v>360</v>
      </c>
      <c r="E80" s="53">
        <v>380</v>
      </c>
      <c r="F80" s="23">
        <f t="shared" si="12"/>
        <v>20</v>
      </c>
      <c r="G80" s="27">
        <f t="shared" si="13"/>
        <v>5.5555555555555571</v>
      </c>
    </row>
    <row r="81" spans="2:7" ht="15.5" x14ac:dyDescent="0.35">
      <c r="B81" s="23" t="s">
        <v>85</v>
      </c>
      <c r="C81" s="51"/>
      <c r="D81" s="52">
        <v>360</v>
      </c>
      <c r="E81" s="53">
        <v>380</v>
      </c>
      <c r="F81" s="23">
        <f t="shared" si="12"/>
        <v>20</v>
      </c>
      <c r="G81" s="27">
        <f t="shared" si="13"/>
        <v>5.5555555555555571</v>
      </c>
    </row>
    <row r="82" spans="2:7" ht="15.5" x14ac:dyDescent="0.35">
      <c r="B82" s="23" t="s">
        <v>86</v>
      </c>
      <c r="C82" s="51"/>
      <c r="D82" s="52">
        <v>360</v>
      </c>
      <c r="E82" s="53">
        <v>460</v>
      </c>
      <c r="F82" s="23">
        <f t="shared" si="12"/>
        <v>100</v>
      </c>
      <c r="G82" s="27">
        <f t="shared" si="13"/>
        <v>27.777777777777771</v>
      </c>
    </row>
    <row r="83" spans="2:7" ht="15.5" x14ac:dyDescent="0.35">
      <c r="B83" s="23" t="s">
        <v>87</v>
      </c>
      <c r="C83" s="51"/>
      <c r="D83" s="52">
        <v>180</v>
      </c>
      <c r="E83" s="53">
        <v>150</v>
      </c>
      <c r="F83" s="23">
        <f t="shared" si="12"/>
        <v>-30</v>
      </c>
      <c r="G83" s="27">
        <f t="shared" si="13"/>
        <v>-16.666666666666671</v>
      </c>
    </row>
    <row r="84" spans="2:7" ht="15.5" x14ac:dyDescent="0.35">
      <c r="B84" s="23" t="s">
        <v>88</v>
      </c>
      <c r="C84" s="51"/>
      <c r="D84" s="52">
        <v>1200</v>
      </c>
      <c r="E84" s="53">
        <v>1500</v>
      </c>
      <c r="F84" s="23">
        <f t="shared" si="12"/>
        <v>300</v>
      </c>
      <c r="G84" s="27">
        <f t="shared" si="13"/>
        <v>25</v>
      </c>
    </row>
    <row r="85" spans="2:7" ht="15.5" x14ac:dyDescent="0.35">
      <c r="B85" s="23" t="s">
        <v>89</v>
      </c>
      <c r="C85" s="51"/>
      <c r="D85" s="51">
        <v>800</v>
      </c>
      <c r="E85" s="53">
        <v>920</v>
      </c>
      <c r="F85" s="23">
        <f t="shared" si="12"/>
        <v>120</v>
      </c>
      <c r="G85" s="27">
        <f t="shared" si="13"/>
        <v>15</v>
      </c>
    </row>
    <row r="86" spans="2:7" ht="15.5" x14ac:dyDescent="0.35">
      <c r="B86" s="23" t="s">
        <v>90</v>
      </c>
      <c r="C86" s="51"/>
      <c r="D86" s="52" t="s">
        <v>91</v>
      </c>
      <c r="E86" s="53" t="s">
        <v>92</v>
      </c>
      <c r="F86" s="23" t="e">
        <f t="shared" si="12"/>
        <v>#VALUE!</v>
      </c>
      <c r="G86" s="27" t="e">
        <f t="shared" si="13"/>
        <v>#VALUE!</v>
      </c>
    </row>
    <row r="87" spans="2:7" ht="15.5" x14ac:dyDescent="0.35">
      <c r="B87" s="23" t="s">
        <v>93</v>
      </c>
      <c r="C87" s="51"/>
      <c r="D87" s="52">
        <v>1100</v>
      </c>
      <c r="E87" s="53">
        <v>1400</v>
      </c>
      <c r="F87" s="23">
        <f t="shared" si="12"/>
        <v>300</v>
      </c>
      <c r="G87" s="27">
        <f t="shared" si="13"/>
        <v>27.272727272727266</v>
      </c>
    </row>
    <row r="88" spans="2:7" x14ac:dyDescent="0.35">
      <c r="B88" s="54"/>
      <c r="C88" s="54"/>
      <c r="D88" s="54"/>
      <c r="E88" s="55"/>
      <c r="F88" s="54"/>
      <c r="G88" s="54"/>
    </row>
    <row r="89" spans="2:7" x14ac:dyDescent="0.35">
      <c r="B89" s="54"/>
      <c r="C89" s="54"/>
      <c r="D89" s="54"/>
      <c r="E89" s="55"/>
      <c r="F89" s="54"/>
      <c r="G89" s="54"/>
    </row>
  </sheetData>
  <mergeCells count="2">
    <mergeCell ref="B4:G10"/>
    <mergeCell ref="B71:G71"/>
  </mergeCells>
  <printOptions horizontalCentered="1" verticalCentered="1" gridLines="1"/>
  <pageMargins left="0.11811023622047245" right="0.11811023622047245" top="0.15748031496062992" bottom="0.15748031496062992" header="0.31496062992125984" footer="0.31496062992125984"/>
  <pageSetup paperSize="5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(140626)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Shroff</dc:creator>
  <cp:lastModifiedBy>Ketan Shroff</cp:lastModifiedBy>
  <dcterms:created xsi:type="dcterms:W3CDTF">2026-06-18T17:51:32Z</dcterms:created>
  <dcterms:modified xsi:type="dcterms:W3CDTF">2026-06-18T17:52:13Z</dcterms:modified>
</cp:coreProperties>
</file>